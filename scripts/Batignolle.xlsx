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AN\Documents\CLEAN BOPETO\JODALVY\Batignolles\"/>
    </mc:Choice>
  </mc:AlternateContent>
  <xr:revisionPtr revIDLastSave="0" documentId="13_ncr:1_{2FDBED0D-D250-4578-8F0C-272FD174724C}" xr6:coauthVersionLast="47" xr6:coauthVersionMax="47" xr10:uidLastSave="{00000000-0000-0000-0000-000000000000}"/>
  <bookViews>
    <workbookView xWindow="6090" yWindow="1215" windowWidth="19995" windowHeight="13305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4" i="1" l="1"/>
  <c r="O64" i="1"/>
  <c r="N64" i="1"/>
  <c r="M64" i="1"/>
</calcChain>
</file>

<file path=xl/sharedStrings.xml><?xml version="1.0" encoding="utf-8"?>
<sst xmlns="http://schemas.openxmlformats.org/spreadsheetml/2006/main" count="372" uniqueCount="178">
  <si>
    <t>Ruelle</t>
  </si>
  <si>
    <t>Tel</t>
  </si>
  <si>
    <t>Pack</t>
  </si>
  <si>
    <t>N</t>
  </si>
  <si>
    <t>Prix</t>
  </si>
  <si>
    <t>Dte du debut</t>
  </si>
  <si>
    <t>Quartier</t>
  </si>
  <si>
    <t>Nom</t>
  </si>
  <si>
    <t>Colonne1</t>
  </si>
  <si>
    <t>PEMBE Grace</t>
  </si>
  <si>
    <t>06 620 63 28</t>
  </si>
  <si>
    <t>3 plus</t>
  </si>
  <si>
    <t>case 245</t>
  </si>
  <si>
    <t>le 07 Sept 2023</t>
  </si>
  <si>
    <t>IKOMBO Marie</t>
  </si>
  <si>
    <t xml:space="preserve"> avenue de la base</t>
  </si>
  <si>
    <t>06 668 79 26</t>
  </si>
  <si>
    <t>le 24 Otob 2023</t>
  </si>
  <si>
    <t>Seven</t>
  </si>
  <si>
    <t>le 25 juillet 2024</t>
  </si>
  <si>
    <t>ECO ALU (Michel)</t>
  </si>
  <si>
    <t>06 687 35 74</t>
  </si>
  <si>
    <t>Aveue des trois martyrs</t>
  </si>
  <si>
    <t>Colonne2</t>
  </si>
  <si>
    <t>SIMA Martin</t>
  </si>
  <si>
    <t>06 686 69 88</t>
  </si>
  <si>
    <t>le 15 Novembre 2025</t>
  </si>
  <si>
    <t>//////</t>
  </si>
  <si>
    <t>Standard</t>
  </si>
  <si>
    <t>06 975 09 56</t>
  </si>
  <si>
    <t>OOUSSA Fabrice</t>
  </si>
  <si>
    <t>Aicha</t>
  </si>
  <si>
    <t>06 719 81 81</t>
  </si>
  <si>
    <t>04 476 58 52</t>
  </si>
  <si>
    <t>Colonne4</t>
  </si>
  <si>
    <t>FCFA</t>
  </si>
  <si>
    <t>AVENUE DE LA BASE</t>
  </si>
  <si>
    <t>RUE CASE</t>
  </si>
  <si>
    <t>Standard+bac</t>
  </si>
  <si>
    <t>AVENUE DES TROIS MARTYRS</t>
  </si>
  <si>
    <t>case 176</t>
  </si>
  <si>
    <t>le 19 Novembre 2024</t>
  </si>
  <si>
    <t xml:space="preserve">Grace </t>
  </si>
  <si>
    <t>Aïcha Ngalula</t>
  </si>
  <si>
    <t xml:space="preserve"> 06 686 04 64</t>
  </si>
  <si>
    <t>le 26 Novembre 2024</t>
  </si>
  <si>
    <t>Rue Albert Mampiri</t>
  </si>
  <si>
    <t>RUE ALBER MAMPIRI</t>
  </si>
  <si>
    <t>le 28 Novembre 2024</t>
  </si>
  <si>
    <t>05 315 53 04</t>
  </si>
  <si>
    <t>DIYANGUI Tanya</t>
  </si>
  <si>
    <t>RUE MATSIONA NZOULOU</t>
  </si>
  <si>
    <t>Rue Matsiona nzoulou</t>
  </si>
  <si>
    <t>Basic</t>
  </si>
  <si>
    <t>SIAMA Michel</t>
  </si>
  <si>
    <t>06 662 69 67</t>
  </si>
  <si>
    <t>le 30 Novembre 2024</t>
  </si>
  <si>
    <t>Rose</t>
  </si>
  <si>
    <t>06 519 89 96</t>
  </si>
  <si>
    <t>2I (GANGE Gilberto)</t>
  </si>
  <si>
    <t>06 721 83 20</t>
  </si>
  <si>
    <t>Entreprise</t>
  </si>
  <si>
    <t>Colonne5</t>
  </si>
  <si>
    <t>06 632 81 25</t>
  </si>
  <si>
    <t>ELENGA Ruth</t>
  </si>
  <si>
    <t>le 05 Decembre 2024</t>
  </si>
  <si>
    <t>Case 225</t>
  </si>
  <si>
    <t>MANANGA Armel</t>
  </si>
  <si>
    <t>06 636 60 83</t>
  </si>
  <si>
    <t>le 24 Decembre 2024</t>
  </si>
  <si>
    <t>case 291</t>
  </si>
  <si>
    <t>Batignolles</t>
  </si>
  <si>
    <t>le 04 janvier 2025</t>
  </si>
  <si>
    <t>MANTATA  Robert Serge</t>
  </si>
  <si>
    <t>06 662 09 31</t>
  </si>
  <si>
    <t>Standard+bac 60L</t>
  </si>
  <si>
    <t>Standard+bac 30L</t>
  </si>
  <si>
    <t>Basic+bac 30L</t>
  </si>
  <si>
    <t xml:space="preserve">            ZONE B</t>
  </si>
  <si>
    <r>
      <t xml:space="preserve">            </t>
    </r>
    <r>
      <rPr>
        <sz val="16"/>
        <color rgb="FF002060"/>
        <rFont val="Calibri"/>
        <family val="2"/>
        <scheme val="minor"/>
      </rPr>
      <t xml:space="preserve"> BATIGNOLLES</t>
    </r>
  </si>
  <si>
    <r>
      <t xml:space="preserve">               </t>
    </r>
    <r>
      <rPr>
        <sz val="14"/>
        <color rgb="FF002060"/>
        <rFont val="Calibri"/>
        <family val="2"/>
        <scheme val="minor"/>
      </rPr>
      <t xml:space="preserve"> </t>
    </r>
    <r>
      <rPr>
        <sz val="14"/>
        <color theme="9" tint="-0.499984740745262"/>
        <rFont val="Calibri"/>
        <family val="2"/>
        <scheme val="minor"/>
      </rPr>
      <t>ZONE B</t>
    </r>
  </si>
  <si>
    <t>The Best B</t>
  </si>
  <si>
    <t>06 652 37 47</t>
  </si>
  <si>
    <t>Entreprise+bac 60L</t>
  </si>
  <si>
    <t>le 14 Fevrier 2025</t>
  </si>
  <si>
    <t>le 27 Fevrier 2025</t>
  </si>
  <si>
    <t>06 995 84 54</t>
  </si>
  <si>
    <t>le 09 Octobre 2023</t>
  </si>
  <si>
    <t>06 851 78 78</t>
  </si>
  <si>
    <t xml:space="preserve">case </t>
  </si>
  <si>
    <t xml:space="preserve">   </t>
  </si>
  <si>
    <t>BOUMBA Clemance</t>
  </si>
  <si>
    <t>le 13 avril 2025</t>
  </si>
  <si>
    <t>Standar</t>
  </si>
  <si>
    <t>MOUSSA Omar</t>
  </si>
  <si>
    <t>le 04 avril 2025</t>
  </si>
  <si>
    <t>la frontier</t>
  </si>
  <si>
    <t>rue ngandzi mpianka</t>
  </si>
  <si>
    <t>08b</t>
  </si>
  <si>
    <t>le 10 Mai 2025</t>
  </si>
  <si>
    <t>06 619 76 89</t>
  </si>
  <si>
    <t>Case 237</t>
  </si>
  <si>
    <t>le 24 Mai 2025</t>
  </si>
  <si>
    <t xml:space="preserve">entrprise </t>
  </si>
  <si>
    <t>le 06 Juin 2025</t>
  </si>
  <si>
    <t>le 05 Juillet 2025</t>
  </si>
  <si>
    <t>LA FRONTIERE</t>
  </si>
  <si>
    <r>
      <t xml:space="preserve"> </t>
    </r>
    <r>
      <rPr>
        <b/>
        <sz val="14"/>
        <color rgb="FFED0000"/>
        <rFont val="Calibri"/>
        <family val="2"/>
        <scheme val="minor"/>
      </rPr>
      <t xml:space="preserve"> Rue ngandzi mpianka</t>
    </r>
  </si>
  <si>
    <t>2I (Yane)</t>
  </si>
  <si>
    <t>Shop express (MISSENGUE Charles)</t>
  </si>
  <si>
    <t>06 492 82 26</t>
  </si>
  <si>
    <t>06 725 20 48</t>
  </si>
  <si>
    <t>PENDA Sako</t>
  </si>
  <si>
    <t>BILOMBO Chantale</t>
  </si>
  <si>
    <t>06 624 48 61</t>
  </si>
  <si>
    <t>juil-25</t>
  </si>
  <si>
    <t>06 808 34 46</t>
  </si>
  <si>
    <t>juin-25</t>
  </si>
  <si>
    <t>Case 267</t>
  </si>
  <si>
    <t>Mira MBOUMA</t>
  </si>
  <si>
    <t>06 603 84 07</t>
  </si>
  <si>
    <t>le 01 Aout 2025</t>
  </si>
  <si>
    <t xml:space="preserve"> Landry</t>
  </si>
  <si>
    <t>06 873 68 04</t>
  </si>
  <si>
    <t>le 30 Aout 2025</t>
  </si>
  <si>
    <t>case 320</t>
  </si>
  <si>
    <t>Odilon</t>
  </si>
  <si>
    <t>06 559 26 26</t>
  </si>
  <si>
    <t>case336</t>
  </si>
  <si>
    <t>case 336</t>
  </si>
  <si>
    <t>NKODIA TELO Robert</t>
  </si>
  <si>
    <t>06 664 93 14</t>
  </si>
  <si>
    <t>aout2025</t>
  </si>
  <si>
    <t>Case315</t>
  </si>
  <si>
    <t>case 318</t>
  </si>
  <si>
    <t>le 09 septembre 2025</t>
  </si>
  <si>
    <t>PAKA  Ernestine</t>
  </si>
  <si>
    <t>04 061 75 97</t>
  </si>
  <si>
    <t>case 291bis</t>
  </si>
  <si>
    <t>MVOUAMA Joseph</t>
  </si>
  <si>
    <t>05 777 81 49</t>
  </si>
  <si>
    <t>le  28 octobre 2025</t>
  </si>
  <si>
    <t>MBEMBA Jeanette</t>
  </si>
  <si>
    <t>06 641 23 83</t>
  </si>
  <si>
    <t>le 28 octobre 2025</t>
  </si>
  <si>
    <t>NZOUMBA Adele</t>
  </si>
  <si>
    <t>06 912 35 57</t>
  </si>
  <si>
    <t>le 28 octobre 2026</t>
  </si>
  <si>
    <t>case 176 BIS</t>
  </si>
  <si>
    <t>case 176B</t>
  </si>
  <si>
    <t xml:space="preserve">MOUSSA </t>
  </si>
  <si>
    <t>06  455  58 25</t>
  </si>
  <si>
    <t>BENAZO</t>
  </si>
  <si>
    <t>06 551 10 12</t>
  </si>
  <si>
    <t>Hôtel Joannes ( Dorcas)</t>
  </si>
  <si>
    <t>06 506 17 53</t>
  </si>
  <si>
    <t>Gloire</t>
  </si>
  <si>
    <t>06 430 02 22</t>
  </si>
  <si>
    <t>NGOUARI Suzane</t>
  </si>
  <si>
    <t>06 677 50 10</t>
  </si>
  <si>
    <t>le 08 novembre 2025</t>
  </si>
  <si>
    <t>Case 259</t>
  </si>
  <si>
    <t>MASSA Monique</t>
  </si>
  <si>
    <t>06 663 20 06</t>
  </si>
  <si>
    <t>le 13 octobre 2025</t>
  </si>
  <si>
    <t>MAHINGA Crelle</t>
  </si>
  <si>
    <t>06 644 37 19</t>
  </si>
  <si>
    <t>EAS Congo ( Preffina)</t>
  </si>
  <si>
    <t>Case 178</t>
  </si>
  <si>
    <t>KISSIRO Elisabeth</t>
  </si>
  <si>
    <t>Case 314</t>
  </si>
  <si>
    <t>Case320</t>
  </si>
  <si>
    <t>Wagué</t>
  </si>
  <si>
    <t>06 646 82 95</t>
  </si>
  <si>
    <t>LOUBAKI Colette</t>
  </si>
  <si>
    <t>06 659 53 04</t>
  </si>
  <si>
    <t>le 24 avril 2026</t>
  </si>
  <si>
    <t>Elenga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</si>
</sst>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9" tint="-0.499984740745262"/>
      <name val="Calibri"/>
      <family val="2"/>
      <scheme val="minor"/>
    </font>
    <font>
      <sz val="16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4"/>
      <color rgb="FFED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49" fontId="0" fillId="0" borderId="0" xfId="0" applyNumberFormat="1" applyAlignment="1">
      <alignment vertical="center"/>
    </xf>
    <xf numFmtId="49" fontId="4" fillId="0" borderId="0" xfId="0" applyNumberFormat="1" applyFont="1"/>
    <xf numFmtId="0" fontId="8" fillId="0" borderId="0" xfId="0" applyFont="1"/>
    <xf numFmtId="1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A1:O71" totalsRowShown="0">
  <autoFilter ref="A1:O71" xr:uid="{00000000-0009-0000-0100-000002000000}"/>
  <tableColumns count="15">
    <tableColumn id="1" xr3:uid="{00000000-0010-0000-0000-000001000000}" name="N"/>
    <tableColumn id="6" xr3:uid="{F0CCF977-B9D1-4AB4-A5AF-60DF78F3C749}" name="Colonne1"/>
    <tableColumn id="10" xr3:uid="{00000000-0010-0000-0000-00000A000000}" name="Ruelle"/>
    <tableColumn id="11" xr3:uid="{FDC43C8E-D489-4D6C-99D8-2D49BCAB50B0}" name="Quartier"/>
    <tableColumn id="2" xr3:uid="{00000000-0010-0000-0000-000002000000}" name="Nom"/>
    <tableColumn id="3" xr3:uid="{00000000-0010-0000-0000-000003000000}" name="Tel"/>
    <tableColumn id="26" xr3:uid="{7AF7CB65-99FD-451E-91EC-E1CC59BD7CAD}" name="Colonne2"/>
    <tableColumn id="4" xr3:uid="{00000000-0010-0000-0000-000004000000}" name="Pack"/>
    <tableColumn id="5" xr3:uid="{00000000-0010-0000-0000-000005000000}" name="Prix"/>
    <tableColumn id="28" xr3:uid="{F809649D-010F-4E42-BD1E-04C6A3CB9950}" name="Colonne4"/>
    <tableColumn id="27" xr3:uid="{3082BFB0-CE62-4385-9AB7-E90EA1FA36DD}" name="Colonne5"/>
    <tableColumn id="7" xr3:uid="{619CDCB8-F1AF-4F52-A904-00332A242024}" name="Dte du debut"/>
    <tableColumn id="25" xr3:uid="{E4C4BD69-1704-45EB-B973-A615D9F83C59}" name="juin-25"/>
    <tableColumn id="8" xr3:uid="{24311017-B918-46DE-A131-AEAB307FC4B5}" name="juil-25"/>
    <tableColumn id="13" xr3:uid="{968D7DEC-75AF-4594-9010-47960DEB33A9}" name="aout20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C31" zoomScale="90" zoomScaleNormal="90" workbookViewId="0">
      <selection activeCell="C22" sqref="C22"/>
    </sheetView>
  </sheetViews>
  <sheetFormatPr baseColWidth="10" defaultRowHeight="15" x14ac:dyDescent="0.25"/>
  <cols>
    <col min="1" max="1" width="4.7109375" customWidth="1"/>
    <col min="2" max="2" width="9.42578125" customWidth="1"/>
    <col min="3" max="3" width="22.140625" customWidth="1"/>
    <col min="4" max="4" width="12.28515625" customWidth="1"/>
    <col min="5" max="5" width="23.7109375" customWidth="1"/>
    <col min="6" max="6" width="14.7109375" customWidth="1"/>
    <col min="7" max="7" width="12.85546875" customWidth="1"/>
    <col min="8" max="8" width="17.28515625" customWidth="1"/>
    <col min="9" max="9" width="8.7109375" customWidth="1"/>
    <col min="10" max="10" width="6.7109375" customWidth="1"/>
    <col min="11" max="11" width="5.28515625" customWidth="1"/>
    <col min="12" max="12" width="20" customWidth="1"/>
    <col min="13" max="13" width="7.5703125" customWidth="1"/>
    <col min="14" max="14" width="8.42578125" customWidth="1"/>
    <col min="15" max="15" width="7.42578125" customWidth="1"/>
  </cols>
  <sheetData>
    <row r="1" spans="1:15" ht="34.9" customHeight="1" x14ac:dyDescent="0.25">
      <c r="A1" t="s">
        <v>3</v>
      </c>
      <c r="B1" t="s">
        <v>8</v>
      </c>
      <c r="C1" t="s">
        <v>0</v>
      </c>
      <c r="D1" t="s">
        <v>6</v>
      </c>
      <c r="E1" t="s">
        <v>7</v>
      </c>
      <c r="F1" t="s">
        <v>1</v>
      </c>
      <c r="G1" t="s">
        <v>23</v>
      </c>
      <c r="H1" t="s">
        <v>2</v>
      </c>
      <c r="I1" t="s">
        <v>4</v>
      </c>
      <c r="J1" t="s">
        <v>34</v>
      </c>
      <c r="K1" t="s">
        <v>62</v>
      </c>
      <c r="L1" t="s">
        <v>5</v>
      </c>
      <c r="M1" s="1" t="s">
        <v>117</v>
      </c>
      <c r="N1" s="1" t="s">
        <v>115</v>
      </c>
      <c r="O1" s="1" t="s">
        <v>132</v>
      </c>
    </row>
    <row r="2" spans="1:15" ht="19.5" customHeight="1" x14ac:dyDescent="0.25">
      <c r="M2" s="1"/>
    </row>
    <row r="3" spans="1:15" ht="19.5" customHeight="1" x14ac:dyDescent="0.35">
      <c r="E3" t="s">
        <v>79</v>
      </c>
      <c r="M3" s="1"/>
      <c r="N3" t="s">
        <v>90</v>
      </c>
    </row>
    <row r="4" spans="1:15" ht="21" customHeight="1" x14ac:dyDescent="0.3">
      <c r="E4" t="s">
        <v>80</v>
      </c>
      <c r="M4" s="1"/>
    </row>
    <row r="5" spans="1:15" ht="19.5" customHeight="1" x14ac:dyDescent="0.25">
      <c r="E5" s="2" t="s">
        <v>37</v>
      </c>
      <c r="M5" s="1"/>
    </row>
    <row r="6" spans="1:15" ht="15.75" customHeight="1" x14ac:dyDescent="0.25">
      <c r="A6">
        <v>2</v>
      </c>
      <c r="B6" t="s">
        <v>40</v>
      </c>
      <c r="C6" t="s">
        <v>40</v>
      </c>
      <c r="D6" t="s">
        <v>71</v>
      </c>
      <c r="E6" t="s">
        <v>18</v>
      </c>
      <c r="F6" t="s">
        <v>88</v>
      </c>
      <c r="G6" t="s">
        <v>27</v>
      </c>
      <c r="H6" t="s">
        <v>28</v>
      </c>
      <c r="I6">
        <v>3000</v>
      </c>
      <c r="J6" t="s">
        <v>35</v>
      </c>
      <c r="K6">
        <v>2</v>
      </c>
      <c r="L6" t="s">
        <v>87</v>
      </c>
    </row>
    <row r="7" spans="1:15" ht="15.75" customHeight="1" x14ac:dyDescent="0.25">
      <c r="A7">
        <v>3</v>
      </c>
      <c r="B7" t="s">
        <v>149</v>
      </c>
      <c r="C7" t="s">
        <v>148</v>
      </c>
      <c r="D7" t="s">
        <v>71</v>
      </c>
      <c r="E7" t="s">
        <v>150</v>
      </c>
      <c r="F7" t="s">
        <v>151</v>
      </c>
      <c r="G7" t="s">
        <v>27</v>
      </c>
      <c r="H7" t="s">
        <v>28</v>
      </c>
      <c r="I7">
        <v>3500</v>
      </c>
      <c r="J7" t="s">
        <v>35</v>
      </c>
      <c r="K7">
        <v>3</v>
      </c>
      <c r="L7" t="s">
        <v>144</v>
      </c>
    </row>
    <row r="8" spans="1:15" ht="15.75" customHeight="1" x14ac:dyDescent="0.25">
      <c r="A8">
        <v>4</v>
      </c>
      <c r="B8" t="s">
        <v>168</v>
      </c>
      <c r="C8" t="s">
        <v>168</v>
      </c>
      <c r="D8" t="s">
        <v>71</v>
      </c>
      <c r="E8" t="s">
        <v>169</v>
      </c>
      <c r="H8" t="s">
        <v>28</v>
      </c>
      <c r="I8">
        <v>3500</v>
      </c>
      <c r="J8" t="s">
        <v>35</v>
      </c>
      <c r="K8">
        <v>4</v>
      </c>
    </row>
    <row r="9" spans="1:15" ht="15.75" customHeight="1" x14ac:dyDescent="0.25">
      <c r="A9">
        <v>5</v>
      </c>
      <c r="B9" t="s">
        <v>66</v>
      </c>
      <c r="C9" t="s">
        <v>66</v>
      </c>
      <c r="D9" t="s">
        <v>71</v>
      </c>
      <c r="E9" t="s">
        <v>67</v>
      </c>
      <c r="F9" t="s">
        <v>68</v>
      </c>
      <c r="G9" t="s">
        <v>27</v>
      </c>
      <c r="H9" t="s">
        <v>38</v>
      </c>
      <c r="I9">
        <v>3500</v>
      </c>
      <c r="J9" t="s">
        <v>35</v>
      </c>
      <c r="K9">
        <v>5</v>
      </c>
      <c r="L9" t="s">
        <v>69</v>
      </c>
      <c r="M9">
        <v>3500</v>
      </c>
      <c r="N9">
        <v>3500</v>
      </c>
      <c r="O9">
        <v>3500</v>
      </c>
    </row>
    <row r="10" spans="1:15" ht="15.75" customHeight="1" x14ac:dyDescent="0.25">
      <c r="A10">
        <v>6</v>
      </c>
      <c r="B10" t="s">
        <v>101</v>
      </c>
      <c r="C10" t="s">
        <v>101</v>
      </c>
      <c r="D10" t="s">
        <v>71</v>
      </c>
      <c r="E10" s="5" t="s">
        <v>154</v>
      </c>
      <c r="F10" s="6" t="s">
        <v>155</v>
      </c>
      <c r="G10" t="s">
        <v>111</v>
      </c>
      <c r="H10" t="s">
        <v>103</v>
      </c>
      <c r="I10">
        <v>2000</v>
      </c>
      <c r="J10" t="s">
        <v>35</v>
      </c>
      <c r="K10">
        <v>6</v>
      </c>
      <c r="L10" t="s">
        <v>102</v>
      </c>
      <c r="M10">
        <v>2000</v>
      </c>
      <c r="N10">
        <v>2000</v>
      </c>
      <c r="O10">
        <v>2000</v>
      </c>
    </row>
    <row r="11" spans="1:15" ht="15.75" customHeight="1" x14ac:dyDescent="0.25">
      <c r="E11" s="5"/>
      <c r="F11" s="6"/>
    </row>
    <row r="12" spans="1:15" ht="15.75" customHeight="1" x14ac:dyDescent="0.25"/>
    <row r="13" spans="1:15" ht="15.75" customHeight="1" x14ac:dyDescent="0.25">
      <c r="A13">
        <v>8</v>
      </c>
      <c r="C13" t="s">
        <v>89</v>
      </c>
      <c r="D13" t="s">
        <v>71</v>
      </c>
      <c r="E13" t="s">
        <v>94</v>
      </c>
      <c r="F13" t="s">
        <v>116</v>
      </c>
      <c r="G13" t="s">
        <v>27</v>
      </c>
      <c r="H13" t="s">
        <v>93</v>
      </c>
      <c r="I13">
        <v>3000</v>
      </c>
      <c r="J13" t="s">
        <v>35</v>
      </c>
      <c r="K13">
        <v>8</v>
      </c>
      <c r="L13" t="s">
        <v>92</v>
      </c>
      <c r="M13">
        <v>3000</v>
      </c>
      <c r="N13">
        <v>3000</v>
      </c>
    </row>
    <row r="15" spans="1:15" x14ac:dyDescent="0.25">
      <c r="A15">
        <v>10</v>
      </c>
      <c r="B15" t="s">
        <v>161</v>
      </c>
      <c r="C15" t="s">
        <v>161</v>
      </c>
      <c r="D15" t="s">
        <v>71</v>
      </c>
      <c r="E15" t="s">
        <v>162</v>
      </c>
      <c r="F15" t="s">
        <v>163</v>
      </c>
      <c r="G15" t="s">
        <v>27</v>
      </c>
      <c r="H15" t="s">
        <v>28</v>
      </c>
      <c r="I15">
        <v>3500</v>
      </c>
      <c r="J15" t="s">
        <v>35</v>
      </c>
      <c r="K15">
        <v>10</v>
      </c>
      <c r="L15" t="s">
        <v>144</v>
      </c>
    </row>
    <row r="16" spans="1:15" x14ac:dyDescent="0.25">
      <c r="A16">
        <v>11</v>
      </c>
      <c r="B16" t="s">
        <v>118</v>
      </c>
      <c r="C16" t="s">
        <v>118</v>
      </c>
      <c r="D16" t="s">
        <v>71</v>
      </c>
      <c r="E16" t="s">
        <v>119</v>
      </c>
      <c r="F16" t="s">
        <v>120</v>
      </c>
      <c r="G16" t="s">
        <v>27</v>
      </c>
      <c r="H16" t="s">
        <v>28</v>
      </c>
      <c r="I16">
        <v>3500</v>
      </c>
      <c r="J16" t="s">
        <v>35</v>
      </c>
      <c r="K16">
        <v>11</v>
      </c>
      <c r="L16" t="s">
        <v>121</v>
      </c>
      <c r="M16">
        <v>0</v>
      </c>
      <c r="N16">
        <v>0</v>
      </c>
      <c r="O16">
        <v>3500</v>
      </c>
    </row>
    <row r="17" spans="1:15" ht="18.75" customHeight="1" x14ac:dyDescent="0.25">
      <c r="A17">
        <v>13</v>
      </c>
      <c r="B17" t="s">
        <v>70</v>
      </c>
      <c r="C17" t="s">
        <v>70</v>
      </c>
      <c r="D17" t="s">
        <v>71</v>
      </c>
      <c r="E17" t="s">
        <v>73</v>
      </c>
      <c r="F17" t="s">
        <v>74</v>
      </c>
      <c r="G17" t="s">
        <v>27</v>
      </c>
      <c r="H17" t="s">
        <v>38</v>
      </c>
      <c r="I17">
        <v>3500</v>
      </c>
      <c r="J17" t="s">
        <v>35</v>
      </c>
      <c r="K17">
        <v>13</v>
      </c>
      <c r="L17" t="s">
        <v>72</v>
      </c>
      <c r="M17">
        <v>3500</v>
      </c>
      <c r="N17">
        <v>3500</v>
      </c>
    </row>
    <row r="18" spans="1:15" ht="18.75" customHeight="1" x14ac:dyDescent="0.25"/>
    <row r="19" spans="1:15" ht="18.75" customHeight="1" x14ac:dyDescent="0.25">
      <c r="A19">
        <v>14</v>
      </c>
      <c r="B19" t="s">
        <v>138</v>
      </c>
      <c r="C19" t="s">
        <v>138</v>
      </c>
      <c r="D19" t="s">
        <v>71</v>
      </c>
      <c r="E19" t="s">
        <v>139</v>
      </c>
      <c r="F19" t="s">
        <v>140</v>
      </c>
      <c r="G19" t="s">
        <v>27</v>
      </c>
      <c r="H19" t="s">
        <v>28</v>
      </c>
      <c r="I19">
        <v>5000</v>
      </c>
      <c r="J19" t="s">
        <v>35</v>
      </c>
      <c r="K19">
        <v>14</v>
      </c>
      <c r="L19" t="s">
        <v>141</v>
      </c>
    </row>
    <row r="20" spans="1:15" ht="18.75" customHeight="1" x14ac:dyDescent="0.25">
      <c r="A20">
        <v>15</v>
      </c>
      <c r="B20" t="s">
        <v>133</v>
      </c>
      <c r="C20" t="s">
        <v>170</v>
      </c>
      <c r="D20" t="s">
        <v>71</v>
      </c>
      <c r="E20" t="s">
        <v>156</v>
      </c>
      <c r="F20" t="s">
        <v>157</v>
      </c>
      <c r="G20" t="s">
        <v>27</v>
      </c>
      <c r="H20" t="s">
        <v>28</v>
      </c>
      <c r="I20">
        <v>3000</v>
      </c>
      <c r="J20" t="s">
        <v>35</v>
      </c>
      <c r="K20">
        <v>15</v>
      </c>
      <c r="L20" t="s">
        <v>135</v>
      </c>
    </row>
    <row r="21" spans="1:15" ht="18.75" customHeight="1" x14ac:dyDescent="0.25">
      <c r="A21">
        <v>16</v>
      </c>
      <c r="C21" t="s">
        <v>171</v>
      </c>
      <c r="D21" t="s">
        <v>71</v>
      </c>
      <c r="E21" t="s">
        <v>172</v>
      </c>
      <c r="F21" t="s">
        <v>173</v>
      </c>
      <c r="G21" t="s">
        <v>27</v>
      </c>
      <c r="H21" t="s">
        <v>28</v>
      </c>
      <c r="I21">
        <v>4000</v>
      </c>
      <c r="J21" t="s">
        <v>35</v>
      </c>
      <c r="K21">
        <v>16</v>
      </c>
    </row>
    <row r="22" spans="1:15" ht="18.75" customHeight="1" x14ac:dyDescent="0.25">
      <c r="A22">
        <v>18</v>
      </c>
      <c r="D22" t="s">
        <v>71</v>
      </c>
      <c r="E22" t="s">
        <v>152</v>
      </c>
      <c r="F22" t="s">
        <v>153</v>
      </c>
      <c r="G22" t="s">
        <v>27</v>
      </c>
      <c r="H22" t="s">
        <v>28</v>
      </c>
      <c r="I22">
        <v>3500</v>
      </c>
      <c r="J22" t="s">
        <v>35</v>
      </c>
      <c r="K22">
        <v>18</v>
      </c>
    </row>
    <row r="23" spans="1:15" ht="18.75" customHeight="1" x14ac:dyDescent="0.25">
      <c r="A23">
        <v>19</v>
      </c>
      <c r="B23" t="s">
        <v>125</v>
      </c>
      <c r="C23" t="s">
        <v>125</v>
      </c>
      <c r="D23" t="s">
        <v>71</v>
      </c>
      <c r="E23" t="s">
        <v>126</v>
      </c>
      <c r="F23" t="s">
        <v>127</v>
      </c>
      <c r="G23" t="s">
        <v>27</v>
      </c>
      <c r="H23" t="s">
        <v>28</v>
      </c>
      <c r="I23">
        <v>3000</v>
      </c>
      <c r="J23" t="s">
        <v>35</v>
      </c>
      <c r="K23">
        <v>19</v>
      </c>
      <c r="L23" t="s">
        <v>124</v>
      </c>
      <c r="M23">
        <v>0</v>
      </c>
      <c r="N23">
        <v>0</v>
      </c>
      <c r="O23">
        <v>0</v>
      </c>
    </row>
    <row r="24" spans="1:15" x14ac:dyDescent="0.25">
      <c r="A24">
        <v>20</v>
      </c>
      <c r="B24" t="s">
        <v>128</v>
      </c>
      <c r="C24" t="s">
        <v>129</v>
      </c>
      <c r="D24" t="s">
        <v>71</v>
      </c>
      <c r="E24" t="s">
        <v>130</v>
      </c>
      <c r="F24" t="s">
        <v>131</v>
      </c>
      <c r="G24" t="s">
        <v>27</v>
      </c>
      <c r="H24" t="s">
        <v>28</v>
      </c>
      <c r="I24">
        <v>3000</v>
      </c>
      <c r="J24" t="s">
        <v>35</v>
      </c>
      <c r="K24">
        <v>20</v>
      </c>
      <c r="L24" t="s">
        <v>124</v>
      </c>
      <c r="M24">
        <v>0</v>
      </c>
      <c r="N24">
        <v>0</v>
      </c>
      <c r="O24">
        <v>0</v>
      </c>
    </row>
    <row r="27" spans="1:15" x14ac:dyDescent="0.25">
      <c r="E27" s="2" t="s">
        <v>36</v>
      </c>
    </row>
    <row r="28" spans="1:15" x14ac:dyDescent="0.25">
      <c r="A28">
        <v>21</v>
      </c>
      <c r="C28" t="s">
        <v>52</v>
      </c>
      <c r="D28" t="s">
        <v>71</v>
      </c>
      <c r="E28" s="3" t="s">
        <v>109</v>
      </c>
      <c r="F28" t="s">
        <v>110</v>
      </c>
      <c r="G28" t="s">
        <v>27</v>
      </c>
      <c r="H28" t="s">
        <v>103</v>
      </c>
      <c r="I28">
        <v>5000</v>
      </c>
      <c r="J28" t="s">
        <v>35</v>
      </c>
      <c r="K28">
        <v>21</v>
      </c>
      <c r="L28" t="s">
        <v>104</v>
      </c>
      <c r="M28">
        <v>5000</v>
      </c>
      <c r="N28">
        <v>5000</v>
      </c>
    </row>
    <row r="29" spans="1:15" x14ac:dyDescent="0.25">
      <c r="A29">
        <v>22</v>
      </c>
      <c r="B29">
        <v>5</v>
      </c>
      <c r="C29" t="s">
        <v>15</v>
      </c>
      <c r="D29" t="s">
        <v>71</v>
      </c>
      <c r="E29" t="s">
        <v>20</v>
      </c>
      <c r="F29" t="s">
        <v>21</v>
      </c>
      <c r="G29" t="s">
        <v>27</v>
      </c>
      <c r="H29" t="s">
        <v>53</v>
      </c>
      <c r="I29">
        <v>2000</v>
      </c>
      <c r="J29" t="s">
        <v>35</v>
      </c>
      <c r="K29">
        <v>22</v>
      </c>
      <c r="L29" t="s">
        <v>19</v>
      </c>
      <c r="M29">
        <v>2000</v>
      </c>
      <c r="N29">
        <v>2000</v>
      </c>
    </row>
    <row r="30" spans="1:15" x14ac:dyDescent="0.25">
      <c r="A30">
        <v>23</v>
      </c>
      <c r="B30">
        <v>7</v>
      </c>
      <c r="C30" t="s">
        <v>15</v>
      </c>
      <c r="D30" t="s">
        <v>71</v>
      </c>
      <c r="E30" t="s">
        <v>14</v>
      </c>
      <c r="F30" t="s">
        <v>16</v>
      </c>
      <c r="G30" t="s">
        <v>27</v>
      </c>
      <c r="H30" t="s">
        <v>53</v>
      </c>
      <c r="I30">
        <v>2500</v>
      </c>
      <c r="J30" t="s">
        <v>35</v>
      </c>
      <c r="K30">
        <v>23</v>
      </c>
      <c r="L30" t="s">
        <v>17</v>
      </c>
      <c r="M30">
        <v>2500</v>
      </c>
      <c r="N30">
        <v>2500</v>
      </c>
    </row>
    <row r="31" spans="1:15" x14ac:dyDescent="0.25">
      <c r="A31">
        <v>24</v>
      </c>
      <c r="B31">
        <v>177</v>
      </c>
      <c r="C31" t="s">
        <v>15</v>
      </c>
      <c r="D31" t="s">
        <v>71</v>
      </c>
      <c r="E31" t="s">
        <v>136</v>
      </c>
      <c r="F31" t="s">
        <v>137</v>
      </c>
      <c r="G31" t="s">
        <v>27</v>
      </c>
      <c r="H31" t="s">
        <v>53</v>
      </c>
      <c r="I31">
        <v>3000</v>
      </c>
      <c r="J31" t="s">
        <v>35</v>
      </c>
      <c r="K31">
        <v>24</v>
      </c>
      <c r="L31" t="s">
        <v>164</v>
      </c>
    </row>
    <row r="32" spans="1:15" x14ac:dyDescent="0.25">
      <c r="A32">
        <v>25</v>
      </c>
      <c r="B32">
        <v>173</v>
      </c>
      <c r="C32" t="s">
        <v>15</v>
      </c>
      <c r="D32" t="s">
        <v>71</v>
      </c>
      <c r="E32" t="s">
        <v>81</v>
      </c>
      <c r="F32" t="s">
        <v>82</v>
      </c>
      <c r="G32" t="s">
        <v>27</v>
      </c>
      <c r="H32" t="s">
        <v>83</v>
      </c>
      <c r="I32">
        <v>5000</v>
      </c>
      <c r="J32" t="s">
        <v>35</v>
      </c>
      <c r="K32">
        <v>25</v>
      </c>
      <c r="L32" t="s">
        <v>84</v>
      </c>
      <c r="M32">
        <v>5000</v>
      </c>
      <c r="N32">
        <v>5000</v>
      </c>
    </row>
    <row r="33" spans="1:15" x14ac:dyDescent="0.25">
      <c r="A33">
        <v>26</v>
      </c>
      <c r="C33" t="s">
        <v>15</v>
      </c>
      <c r="D33" t="s">
        <v>71</v>
      </c>
      <c r="E33" s="3" t="s">
        <v>108</v>
      </c>
      <c r="G33" t="s">
        <v>27</v>
      </c>
      <c r="H33" t="s">
        <v>61</v>
      </c>
      <c r="I33">
        <v>5000</v>
      </c>
      <c r="J33" t="s">
        <v>35</v>
      </c>
      <c r="K33">
        <v>26</v>
      </c>
      <c r="L33" t="s">
        <v>99</v>
      </c>
      <c r="M33">
        <v>5000</v>
      </c>
      <c r="N33">
        <v>5000</v>
      </c>
      <c r="O33">
        <v>5000</v>
      </c>
    </row>
    <row r="35" spans="1:15" x14ac:dyDescent="0.25">
      <c r="E35" s="2" t="s">
        <v>47</v>
      </c>
    </row>
    <row r="36" spans="1:15" x14ac:dyDescent="0.25">
      <c r="A36">
        <v>27</v>
      </c>
      <c r="B36">
        <v>73</v>
      </c>
      <c r="C36" t="s">
        <v>46</v>
      </c>
      <c r="D36" t="s">
        <v>71</v>
      </c>
      <c r="E36" t="s">
        <v>50</v>
      </c>
      <c r="F36" t="s">
        <v>49</v>
      </c>
      <c r="G36" t="s">
        <v>27</v>
      </c>
      <c r="H36" t="s">
        <v>75</v>
      </c>
      <c r="I36">
        <v>4500</v>
      </c>
      <c r="J36" t="s">
        <v>35</v>
      </c>
      <c r="K36">
        <v>27</v>
      </c>
      <c r="L36" t="s">
        <v>48</v>
      </c>
      <c r="M36">
        <v>4500</v>
      </c>
      <c r="N36">
        <v>4500</v>
      </c>
    </row>
    <row r="37" spans="1:15" x14ac:dyDescent="0.25">
      <c r="A37">
        <v>28</v>
      </c>
      <c r="B37">
        <v>22</v>
      </c>
      <c r="C37" t="s">
        <v>46</v>
      </c>
      <c r="D37" t="s">
        <v>71</v>
      </c>
      <c r="E37" t="s">
        <v>142</v>
      </c>
      <c r="F37" t="s">
        <v>143</v>
      </c>
      <c r="G37" t="s">
        <v>27</v>
      </c>
      <c r="H37" t="s">
        <v>28</v>
      </c>
      <c r="I37">
        <v>3500</v>
      </c>
      <c r="J37" t="s">
        <v>35</v>
      </c>
      <c r="K37">
        <v>28</v>
      </c>
      <c r="L37" t="s">
        <v>144</v>
      </c>
    </row>
    <row r="38" spans="1:15" x14ac:dyDescent="0.25">
      <c r="A38">
        <v>29</v>
      </c>
      <c r="B38">
        <v>7</v>
      </c>
      <c r="C38" t="s">
        <v>46</v>
      </c>
      <c r="D38" t="s">
        <v>71</v>
      </c>
      <c r="E38" t="s">
        <v>145</v>
      </c>
      <c r="F38" t="s">
        <v>146</v>
      </c>
      <c r="G38" t="s">
        <v>27</v>
      </c>
      <c r="H38" t="s">
        <v>28</v>
      </c>
      <c r="I38">
        <v>3500</v>
      </c>
      <c r="J38" t="s">
        <v>35</v>
      </c>
      <c r="K38">
        <v>29</v>
      </c>
      <c r="L38" t="s">
        <v>147</v>
      </c>
    </row>
    <row r="39" spans="1:15" x14ac:dyDescent="0.25">
      <c r="A39">
        <v>30</v>
      </c>
      <c r="B39">
        <v>36</v>
      </c>
      <c r="C39" t="s">
        <v>46</v>
      </c>
      <c r="D39" t="s">
        <v>71</v>
      </c>
      <c r="E39" t="s">
        <v>158</v>
      </c>
      <c r="F39" t="s">
        <v>159</v>
      </c>
      <c r="G39" t="s">
        <v>27</v>
      </c>
      <c r="H39" t="s">
        <v>28</v>
      </c>
      <c r="I39">
        <v>3000</v>
      </c>
      <c r="J39" t="s">
        <v>35</v>
      </c>
      <c r="K39">
        <v>30</v>
      </c>
      <c r="L39" t="s">
        <v>160</v>
      </c>
    </row>
    <row r="40" spans="1:15" x14ac:dyDescent="0.25">
      <c r="A40">
        <v>31</v>
      </c>
      <c r="B40">
        <v>38</v>
      </c>
      <c r="C40" t="s">
        <v>46</v>
      </c>
      <c r="D40" t="s">
        <v>71</v>
      </c>
      <c r="E40" t="s">
        <v>165</v>
      </c>
      <c r="F40" t="s">
        <v>166</v>
      </c>
      <c r="G40" t="s">
        <v>27</v>
      </c>
      <c r="H40" t="s">
        <v>28</v>
      </c>
      <c r="I40">
        <v>3000</v>
      </c>
      <c r="J40" t="s">
        <v>35</v>
      </c>
      <c r="K40">
        <v>31</v>
      </c>
      <c r="L40" s="8">
        <v>46021</v>
      </c>
    </row>
    <row r="41" spans="1:15" x14ac:dyDescent="0.25">
      <c r="A41">
        <v>32</v>
      </c>
      <c r="B41">
        <v>34</v>
      </c>
      <c r="C41" t="s">
        <v>46</v>
      </c>
      <c r="D41" t="s">
        <v>71</v>
      </c>
      <c r="E41" t="s">
        <v>174</v>
      </c>
      <c r="F41" t="s">
        <v>175</v>
      </c>
      <c r="G41" t="s">
        <v>27</v>
      </c>
      <c r="H41" t="s">
        <v>28</v>
      </c>
      <c r="I41">
        <v>3500</v>
      </c>
      <c r="J41" t="s">
        <v>35</v>
      </c>
      <c r="L41" s="8" t="s">
        <v>176</v>
      </c>
    </row>
    <row r="43" spans="1:15" x14ac:dyDescent="0.25">
      <c r="E43" s="2" t="s">
        <v>51</v>
      </c>
    </row>
    <row r="44" spans="1:15" x14ac:dyDescent="0.25">
      <c r="A44">
        <v>32</v>
      </c>
      <c r="B44">
        <v>172</v>
      </c>
      <c r="C44" t="s">
        <v>52</v>
      </c>
      <c r="D44" t="s">
        <v>71</v>
      </c>
      <c r="E44" s="3" t="s">
        <v>91</v>
      </c>
      <c r="F44" t="s">
        <v>86</v>
      </c>
      <c r="G44" t="s">
        <v>27</v>
      </c>
      <c r="H44" t="s">
        <v>28</v>
      </c>
      <c r="I44">
        <v>5000</v>
      </c>
      <c r="J44" t="s">
        <v>35</v>
      </c>
      <c r="K44">
        <v>32</v>
      </c>
      <c r="L44" t="s">
        <v>85</v>
      </c>
      <c r="M44">
        <v>5000</v>
      </c>
      <c r="N44">
        <v>5000</v>
      </c>
    </row>
    <row r="45" spans="1:15" x14ac:dyDescent="0.25">
      <c r="C45" t="s">
        <v>52</v>
      </c>
      <c r="D45" t="s">
        <v>71</v>
      </c>
      <c r="E45" s="3" t="s">
        <v>167</v>
      </c>
      <c r="G45" t="s">
        <v>27</v>
      </c>
      <c r="H45" t="s">
        <v>28</v>
      </c>
      <c r="I45">
        <v>5000</v>
      </c>
      <c r="J45" t="s">
        <v>35</v>
      </c>
    </row>
    <row r="46" spans="1:15" x14ac:dyDescent="0.25">
      <c r="C46" t="s">
        <v>52</v>
      </c>
      <c r="D46" t="s">
        <v>71</v>
      </c>
      <c r="E46" s="3" t="s">
        <v>177</v>
      </c>
      <c r="G46" t="s">
        <v>27</v>
      </c>
      <c r="H46" t="s">
        <v>28</v>
      </c>
      <c r="I46">
        <v>3000</v>
      </c>
      <c r="J46" t="s">
        <v>35</v>
      </c>
    </row>
    <row r="47" spans="1:15" x14ac:dyDescent="0.25">
      <c r="E47" s="3"/>
    </row>
    <row r="48" spans="1:15" ht="18.75" x14ac:dyDescent="0.3">
      <c r="E48" s="4" t="s">
        <v>78</v>
      </c>
    </row>
    <row r="50" spans="1:15" x14ac:dyDescent="0.25">
      <c r="E50" s="2" t="s">
        <v>39</v>
      </c>
    </row>
    <row r="51" spans="1:15" x14ac:dyDescent="0.25">
      <c r="A51">
        <v>34</v>
      </c>
      <c r="B51">
        <v>1583</v>
      </c>
      <c r="C51" t="s">
        <v>22</v>
      </c>
      <c r="D51" t="s">
        <v>71</v>
      </c>
      <c r="E51" t="s">
        <v>43</v>
      </c>
      <c r="F51" t="s">
        <v>44</v>
      </c>
      <c r="G51" t="s">
        <v>27</v>
      </c>
      <c r="H51" t="s">
        <v>76</v>
      </c>
      <c r="I51">
        <v>3500</v>
      </c>
      <c r="J51" t="s">
        <v>35</v>
      </c>
      <c r="K51">
        <v>34</v>
      </c>
      <c r="L51" t="s">
        <v>45</v>
      </c>
      <c r="M51">
        <v>3500</v>
      </c>
      <c r="N51">
        <v>3500</v>
      </c>
    </row>
    <row r="52" spans="1:15" x14ac:dyDescent="0.25">
      <c r="A52">
        <v>35</v>
      </c>
      <c r="B52">
        <v>1630</v>
      </c>
      <c r="C52" t="s">
        <v>22</v>
      </c>
      <c r="D52" t="s">
        <v>71</v>
      </c>
      <c r="E52" t="s">
        <v>59</v>
      </c>
      <c r="F52" t="s">
        <v>60</v>
      </c>
      <c r="G52" t="s">
        <v>27</v>
      </c>
      <c r="H52" t="s">
        <v>61</v>
      </c>
      <c r="I52">
        <v>5000</v>
      </c>
      <c r="J52" t="s">
        <v>35</v>
      </c>
      <c r="K52">
        <v>35</v>
      </c>
      <c r="L52" t="s">
        <v>56</v>
      </c>
      <c r="M52">
        <v>5000</v>
      </c>
      <c r="N52">
        <v>5000</v>
      </c>
      <c r="O52">
        <v>5000</v>
      </c>
    </row>
    <row r="53" spans="1:15" x14ac:dyDescent="0.25">
      <c r="A53">
        <v>36</v>
      </c>
      <c r="B53">
        <v>1584</v>
      </c>
      <c r="C53" t="s">
        <v>22</v>
      </c>
      <c r="D53" t="s">
        <v>71</v>
      </c>
      <c r="E53" t="s">
        <v>24</v>
      </c>
      <c r="F53" t="s">
        <v>25</v>
      </c>
      <c r="G53" t="s">
        <v>27</v>
      </c>
      <c r="H53" t="s">
        <v>11</v>
      </c>
      <c r="I53">
        <v>3500</v>
      </c>
      <c r="J53" t="s">
        <v>35</v>
      </c>
      <c r="K53">
        <v>36</v>
      </c>
      <c r="L53" t="s">
        <v>26</v>
      </c>
      <c r="M53">
        <v>3500</v>
      </c>
    </row>
    <row r="54" spans="1:15" x14ac:dyDescent="0.25">
      <c r="A54">
        <v>37</v>
      </c>
      <c r="C54" t="s">
        <v>22</v>
      </c>
      <c r="D54" t="s">
        <v>71</v>
      </c>
      <c r="E54" t="s">
        <v>31</v>
      </c>
      <c r="F54" t="s">
        <v>32</v>
      </c>
      <c r="G54" t="s">
        <v>27</v>
      </c>
      <c r="H54" t="s">
        <v>77</v>
      </c>
      <c r="I54">
        <v>3000</v>
      </c>
      <c r="J54" t="s">
        <v>35</v>
      </c>
      <c r="K54">
        <v>37</v>
      </c>
      <c r="L54" t="s">
        <v>65</v>
      </c>
      <c r="M54">
        <v>3000</v>
      </c>
      <c r="N54">
        <v>3000</v>
      </c>
    </row>
    <row r="55" spans="1:15" x14ac:dyDescent="0.25">
      <c r="A55">
        <v>38</v>
      </c>
      <c r="C55" t="s">
        <v>22</v>
      </c>
      <c r="D55" t="s">
        <v>71</v>
      </c>
      <c r="E55" t="s">
        <v>42</v>
      </c>
      <c r="F55" t="s">
        <v>33</v>
      </c>
      <c r="G55" t="s">
        <v>27</v>
      </c>
      <c r="H55" t="s">
        <v>77</v>
      </c>
      <c r="I55">
        <v>3000</v>
      </c>
      <c r="J55" t="s">
        <v>35</v>
      </c>
      <c r="K55">
        <v>38</v>
      </c>
      <c r="L55" t="s">
        <v>41</v>
      </c>
    </row>
    <row r="57" spans="1:15" ht="18.75" x14ac:dyDescent="0.3">
      <c r="E57" s="7" t="s">
        <v>106</v>
      </c>
    </row>
    <row r="59" spans="1:15" ht="18.75" x14ac:dyDescent="0.3">
      <c r="E59" t="s">
        <v>107</v>
      </c>
    </row>
    <row r="60" spans="1:15" x14ac:dyDescent="0.25">
      <c r="A60">
        <v>39</v>
      </c>
      <c r="B60">
        <v>5</v>
      </c>
      <c r="C60" t="s">
        <v>97</v>
      </c>
      <c r="D60" t="s">
        <v>96</v>
      </c>
      <c r="E60" t="s">
        <v>112</v>
      </c>
      <c r="F60" t="s">
        <v>114</v>
      </c>
      <c r="G60" t="s">
        <v>27</v>
      </c>
      <c r="H60" t="s">
        <v>28</v>
      </c>
      <c r="I60">
        <v>3500</v>
      </c>
      <c r="J60" t="s">
        <v>35</v>
      </c>
      <c r="K60">
        <v>39</v>
      </c>
      <c r="L60" t="s">
        <v>105</v>
      </c>
      <c r="M60">
        <v>0</v>
      </c>
    </row>
    <row r="61" spans="1:15" x14ac:dyDescent="0.25">
      <c r="A61">
        <v>39</v>
      </c>
      <c r="B61" t="s">
        <v>98</v>
      </c>
      <c r="C61" t="s">
        <v>97</v>
      </c>
      <c r="D61" t="s">
        <v>96</v>
      </c>
      <c r="E61" t="s">
        <v>113</v>
      </c>
      <c r="F61" t="s">
        <v>100</v>
      </c>
      <c r="G61" t="s">
        <v>27</v>
      </c>
      <c r="H61" t="s">
        <v>28</v>
      </c>
      <c r="I61">
        <v>4000</v>
      </c>
      <c r="J61" t="s">
        <v>35</v>
      </c>
      <c r="K61">
        <v>40</v>
      </c>
      <c r="L61" t="s">
        <v>95</v>
      </c>
      <c r="M61">
        <v>4000</v>
      </c>
      <c r="N61">
        <v>4000</v>
      </c>
    </row>
    <row r="63" spans="1:15" x14ac:dyDescent="0.25">
      <c r="A63">
        <v>39</v>
      </c>
    </row>
    <row r="64" spans="1:15" x14ac:dyDescent="0.25">
      <c r="I64">
        <f>SUM(I6:I61)</f>
        <v>132500</v>
      </c>
      <c r="J64" t="s">
        <v>35</v>
      </c>
      <c r="M64">
        <f>SUM(M9:M61)</f>
        <v>60000</v>
      </c>
      <c r="N64">
        <f>SUM(N6:N61)</f>
        <v>56500</v>
      </c>
      <c r="O64">
        <f>SUM(O6:O61)</f>
        <v>19000</v>
      </c>
    </row>
  </sheetData>
  <phoneticPr fontId="1" type="noConversion"/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N10"/>
  <sheetViews>
    <sheetView workbookViewId="0">
      <selection activeCell="B10" sqref="B10:K10"/>
    </sheetView>
  </sheetViews>
  <sheetFormatPr baseColWidth="10" defaultRowHeight="15" x14ac:dyDescent="0.25"/>
  <sheetData>
    <row r="4" spans="2:14" x14ac:dyDescent="0.25">
      <c r="B4" s="10">
        <v>80</v>
      </c>
      <c r="C4" s="10" t="s">
        <v>52</v>
      </c>
      <c r="D4" s="10" t="s">
        <v>71</v>
      </c>
      <c r="E4" s="11" t="s">
        <v>54</v>
      </c>
      <c r="F4" s="10" t="s">
        <v>55</v>
      </c>
      <c r="G4" s="10" t="s">
        <v>27</v>
      </c>
      <c r="H4" s="10" t="s">
        <v>53</v>
      </c>
      <c r="I4" s="10">
        <v>0</v>
      </c>
      <c r="J4" s="10" t="s">
        <v>35</v>
      </c>
      <c r="K4" s="9">
        <v>0</v>
      </c>
      <c r="L4" s="10" t="s">
        <v>56</v>
      </c>
      <c r="M4" s="10">
        <v>3000</v>
      </c>
      <c r="N4" s="10"/>
    </row>
    <row r="5" spans="2:14" x14ac:dyDescent="0.25">
      <c r="B5" s="10">
        <v>117</v>
      </c>
      <c r="C5" s="10" t="s">
        <v>52</v>
      </c>
      <c r="D5" s="10" t="s">
        <v>71</v>
      </c>
      <c r="E5" s="11" t="s">
        <v>57</v>
      </c>
      <c r="F5" s="10" t="s">
        <v>58</v>
      </c>
      <c r="G5" s="10" t="s">
        <v>27</v>
      </c>
      <c r="H5" s="10" t="s">
        <v>28</v>
      </c>
      <c r="I5" s="10">
        <v>0</v>
      </c>
      <c r="J5" s="10" t="s">
        <v>35</v>
      </c>
      <c r="K5" s="9">
        <v>0</v>
      </c>
      <c r="L5" s="10" t="s">
        <v>56</v>
      </c>
      <c r="M5" s="10">
        <v>4000</v>
      </c>
      <c r="N5" s="10">
        <v>4000</v>
      </c>
    </row>
    <row r="6" spans="2:14" x14ac:dyDescent="0.25">
      <c r="B6" s="10">
        <v>168</v>
      </c>
      <c r="C6" s="10" t="s">
        <v>52</v>
      </c>
      <c r="D6" s="10" t="s">
        <v>71</v>
      </c>
      <c r="E6" s="11" t="s">
        <v>64</v>
      </c>
      <c r="F6" s="10" t="s">
        <v>63</v>
      </c>
      <c r="G6" s="10" t="s">
        <v>27</v>
      </c>
      <c r="H6" s="10" t="s">
        <v>77</v>
      </c>
      <c r="I6" s="10">
        <v>0</v>
      </c>
      <c r="J6" s="10" t="s">
        <v>35</v>
      </c>
      <c r="K6" s="9">
        <v>0</v>
      </c>
      <c r="L6" s="10" t="s">
        <v>65</v>
      </c>
      <c r="M6" s="10"/>
      <c r="N6" s="10"/>
    </row>
    <row r="8" spans="2:14" x14ac:dyDescent="0.25">
      <c r="B8" s="9">
        <v>1583</v>
      </c>
      <c r="C8" s="9" t="s">
        <v>22</v>
      </c>
      <c r="D8" s="9" t="s">
        <v>71</v>
      </c>
      <c r="E8" s="9" t="s">
        <v>30</v>
      </c>
      <c r="F8" s="9" t="s">
        <v>29</v>
      </c>
      <c r="G8" s="9" t="s">
        <v>27</v>
      </c>
      <c r="H8" s="9" t="s">
        <v>76</v>
      </c>
      <c r="I8" s="9">
        <v>3500</v>
      </c>
      <c r="J8" s="9" t="s">
        <v>35</v>
      </c>
      <c r="K8" s="9">
        <v>33</v>
      </c>
      <c r="L8" s="9" t="s">
        <v>41</v>
      </c>
      <c r="M8" s="9">
        <v>3500</v>
      </c>
      <c r="N8" s="9">
        <v>3500</v>
      </c>
    </row>
    <row r="9" spans="2:14" x14ac:dyDescent="0.25">
      <c r="B9" s="12" t="s">
        <v>12</v>
      </c>
      <c r="C9" s="12" t="s">
        <v>71</v>
      </c>
      <c r="D9" s="12" t="s">
        <v>9</v>
      </c>
      <c r="E9" s="12" t="s">
        <v>10</v>
      </c>
      <c r="F9" s="12" t="s">
        <v>27</v>
      </c>
      <c r="G9" s="12" t="s">
        <v>28</v>
      </c>
      <c r="H9" s="12">
        <v>3000</v>
      </c>
      <c r="I9" s="12" t="s">
        <v>35</v>
      </c>
      <c r="J9" s="12">
        <v>1</v>
      </c>
      <c r="K9" s="12" t="s">
        <v>13</v>
      </c>
      <c r="L9" s="12">
        <v>3000</v>
      </c>
      <c r="M9" s="12">
        <v>3000</v>
      </c>
      <c r="N9" s="13">
        <v>3000</v>
      </c>
    </row>
    <row r="10" spans="2:14" x14ac:dyDescent="0.25">
      <c r="B10" s="12" t="s">
        <v>134</v>
      </c>
      <c r="C10" s="12" t="s">
        <v>71</v>
      </c>
      <c r="D10" s="12" t="s">
        <v>122</v>
      </c>
      <c r="E10" s="12" t="s">
        <v>123</v>
      </c>
      <c r="F10" s="12" t="s">
        <v>27</v>
      </c>
      <c r="G10" s="12" t="s">
        <v>28</v>
      </c>
      <c r="H10" s="12">
        <v>3000</v>
      </c>
      <c r="I10" s="12" t="s">
        <v>35</v>
      </c>
      <c r="J10" s="12">
        <v>17</v>
      </c>
      <c r="K10" s="1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CLEAN</cp:lastModifiedBy>
  <cp:lastPrinted>2025-07-19T06:32:33Z</cp:lastPrinted>
  <dcterms:created xsi:type="dcterms:W3CDTF">2023-03-28T12:35:48Z</dcterms:created>
  <dcterms:modified xsi:type="dcterms:W3CDTF">2026-07-05T17:02:30Z</dcterms:modified>
</cp:coreProperties>
</file>